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workbookPr/>
  <bookViews>
    <workbookView activeTab="0"/>
  </bookViews>
  <sheets>
    <sheet name="README" sheetId="1" r:id="rId1"/>
    <sheet name="Inputs" sheetId="2" r:id="rId2"/>
    <sheet name="Scenarios" sheetId="3" r:id="rId3"/>
    <sheet name="Per_Office" sheetId="4" r:id="rId4"/>
    <sheet name="Stats_Check" sheetId="5" r:id="rId5"/>
    <sheet name="Sensitivity" sheetId="6" r:id="rId6"/>
    <sheet name="KPI_Scorecard" sheetId="7" r:id="rId7"/>
    <sheet name="Charts" sheetId="8" r:id="rId8"/>
  </sheets>
  <calcPr calcId="19102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"/>
  </numFmts>
  <fonts count="4">
    <font>
      <sz val="10"/>
      <color rgb="FF222222"/>
      <name val="Aptos"/>
    </font>
    <font>
      <b/>
      <sz val="16"/>
      <color rgb="FFFFFFFF"/>
      <name val="Aptos Display"/>
    </font>
    <font>
      <b/>
      <sz val="10"/>
      <color rgb="FFFFFFFF"/>
      <name val="Aptos"/>
    </font>
    <font>
      <i/>
      <sz val="10"/>
      <color rgb="FF666666"/>
      <name val="Aptos"/>
    </font>
  </fonts>
  <fills count="6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Alignment="1">
      <alignment horizontal="left" vertical="center"/>
    </xf>
    <xf numFmtId="0" fontId="2" fillId="4" borderId="1" xfId="0" applyAlignment="1">
      <alignment horizontal="center" vertical="center" wrapText="1"/>
    </xf>
    <xf numFmtId="0" fontId="0" fillId="3" borderId="1" xfId="0"/>
    <xf numFmtId="164" fontId="0" fillId="3" borderId="1" xfId="0"/>
    <xf numFmtId="165" fontId="0" fillId="3" borderId="1" xfId="0"/>
    <xf numFmtId="0" fontId="0" fillId="0" borderId="1" xfId="0"/>
    <xf numFmtId="164" fontId="0" fillId="0" borderId="1" xfId="0"/>
    <xf numFmtId="165" fontId="0" fillId="0" borderId="1" xfId="0"/>
    <xf numFmtId="0" fontId="3" fillId="0" borderId="0" xfId="0" applyAlignment="1">
      <alignment wrapText="1"/>
    </xf>
    <xf numFmtId="0" fontId="0" fillId="5" borderId="1" xfId="0"/>
  </cellXfs>
  <cellStyles count="1">
    <cellStyle name="Normal" xfId="0" builtinId="0"/>
  </cellStyle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Relationship Id="rId10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n-US"/>
              <a:t>Peak seats by scenario</a:t>
            </a:r>
            <a:endParaRPr lang="en-US"/>
          </a:p>
        </c:rich>
      </c:tx>
      <c:layout/>
    </c:title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Charts!$B$6:$B$9</c:f>
            </c:strRef>
          </c:tx>
          <c:cat>
            <c:strRef>
              <c:f>Charts!$A$6:$A$9</c:f>
            </c:strRef>
          </c:cat>
          <c:val>
            <c:numRef>
              <c:f>Charts!$B$6:$B$9</c:f>
            </c:numRef>
          </c:val>
        </c:ser>
        <c:axId val="1001"/>
        <c:axId val="1002"/>
      </c:barChart>
      <c:catAx>
        <c:axId val="1001"/>
        <c:scaling>
          <c:orientation val="minMax"/>
        </c:scaling>
        <c:delete val="0"/>
        <c:axPos val="b"/>
        <c:tickLblPos val="nextTo"/>
        <c:crossAx val="1002"/>
        <c:crosses val="autoZero"/>
      </c:catAx>
      <c:valAx>
        <c:axId val="1002"/>
        <c:scaling>
          <c:orientation val="minMax"/>
        </c:scaling>
        <c:delete val="0"/>
        <c:axPos val="l"/>
        <c:majorGridlines/>
        <c:numFmt formatCode="General" sourceLinked="1"/>
        <c:tickLblPos val="nextTo"/>
        <c:crossAx val="1001"/>
        <c:crosses val="autoZero"/>
        <c:crossBetween val="between"/>
      </c:valAx>
    </c:plotArea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n-US"/>
              <a:t>Peak load by scenario</a:t>
            </a:r>
            <a:endParaRPr lang="en-US"/>
          </a:p>
        </c:rich>
      </c:tx>
      <c:layout/>
    </c:title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Charts!$E$6:$E$9</c:f>
            </c:strRef>
          </c:tx>
          <c:cat>
            <c:strRef>
              <c:f>Charts!$D$6:$D$9</c:f>
            </c:strRef>
          </c:cat>
          <c:val>
            <c:numRef>
              <c:f>Charts!$E$6:$E$9</c:f>
            </c:numRef>
          </c:val>
        </c:ser>
        <c:axId val="1101"/>
        <c:axId val="1102"/>
      </c:barChart>
      <c:catAx>
        <c:axId val="1101"/>
        <c:scaling>
          <c:orientation val="minMax"/>
        </c:scaling>
        <c:delete val="0"/>
        <c:axPos val="b"/>
        <c:tickLblPos val="nextTo"/>
        <c:crossAx val="1102"/>
        <c:crosses val="autoZero"/>
      </c:catAx>
      <c:valAx>
        <c:axId val="1102"/>
        <c:scaling>
          <c:orientation val="minMax"/>
        </c:scaling>
        <c:delete val="0"/>
        <c:axPos val="l"/>
        <c:majorGridlines/>
        <c:numFmt formatCode="General" sourceLinked="1"/>
        <c:tickLblPos val="nextTo"/>
        <c:crossAx val="1101"/>
        <c:crosses val="autoZero"/>
        <c:crossBetween val="between"/>
      </c:valAx>
    </c:plotArea>
    <c:plotVisOnly val="1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n-US"/>
              <a:t>Sensitivity: seats required</a:t>
            </a:r>
            <a:endParaRPr lang="en-US"/>
          </a:p>
        </c:rich>
      </c:tx>
      <c:layout/>
    </c:title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Charts!$H$6:$H$12</c:f>
            </c:strRef>
          </c:tx>
          <c:cat>
            <c:strRef>
              <c:f>Charts!$G$6:$G$12</c:f>
            </c:strRef>
          </c:cat>
          <c:val>
            <c:numRef>
              <c:f>Charts!$H$6:$H$12</c:f>
            </c:numRef>
          </c:val>
        </c:ser>
        <c:axId val="1201"/>
        <c:axId val="1202"/>
      </c:barChart>
      <c:catAx>
        <c:axId val="1201"/>
        <c:scaling>
          <c:orientation val="minMax"/>
        </c:scaling>
        <c:delete val="0"/>
        <c:axPos val="b"/>
        <c:tickLblPos val="nextTo"/>
        <c:crossAx val="1202"/>
        <c:crosses val="autoZero"/>
      </c:catAx>
      <c:valAx>
        <c:axId val="1202"/>
        <c:scaling>
          <c:orientation val="minMax"/>
        </c:scaling>
        <c:delete val="0"/>
        <c:axPos val="l"/>
        <c:majorGridlines/>
        <c:numFmt formatCode="General" sourceLinked="1"/>
        <c:tickLblPos val="nextTo"/>
        <c:crossAx val="1201"/>
        <c:crosses val="autoZero"/>
        <c:crossBetween val="between"/>
      </c:valAx>
    </c:plotArea>
    <c:plotVisOnly val="1"/>
  </c:chart>
</c:chartSpace>
</file>

<file path=xl/drawings/_rels/drawing1.xml.rels><?xml version="1.0"?>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>
    <xdr:from>
      <xdr:col>0</xdr:col>
      <xdr:colOff>0</xdr:colOff>
      <xdr:row>3</xdr:row>
      <xdr:rowOff>0</xdr:rowOff>
    </xdr:from>
    <xdr:to>
      <xdr:col>8</xdr:col>
      <xdr:colOff>0</xdr:colOff>
      <xdr:row>18</xdr:row>
      <xdr:rowOff>0</xdr:rowOff>
    </xdr:to>
    <xdr:graphicFrame macro="">
      <xdr:nvGraphicFramePr>
        <xdr:cNvPr id="1" name="Chart 1"/>
        <xdr:cNvGraphicFramePr/>
      </xdr:nvGraphicFramePr>
      <xdr:xfrm/>
      <a:graphic>
        <a:graphicData uri="http://schemas.openxmlformats.org/drawingml/2006/chart">
          <c:chart r:id="rId1"/>
        </a:graphicData>
      </a:graphic>
    </xdr:graphicFrame>
    <xdr:clientData/>
  </xdr:twoCellAnchor>
  <xdr:twoCellAnchor>
    <xdr:from>
      <xdr:col>8</xdr:col>
      <xdr:colOff>0</xdr:colOff>
      <xdr:row>3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2" name="Chart 2"/>
        <xdr:cNvGraphicFramePr/>
      </xdr:nvGraphicFramePr>
      <xdr:xfrm/>
      <a:graphic>
        <a:graphicData uri="http://schemas.openxmlformats.org/drawingml/2006/chart">
          <c:chart r:id="rId2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16</xdr:col>
      <xdr:colOff>0</xdr:colOff>
      <xdr:row>35</xdr:row>
      <xdr:rowOff>0</xdr:rowOff>
    </xdr:to>
    <xdr:graphicFrame macro="">
      <xdr:nvGraphicFramePr>
        <xdr:cNvPr id="3" name="Chart 3"/>
        <xdr:cNvGraphicFramePr/>
      </xdr:nvGraphicFramePr>
      <xdr:xfrm/>
      <a:graphic>
        <a:graphicData uri="http://schemas.openxmlformats.org/drawingml/2006/chart">
          <c:chart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1F1F"/>
      </a:dk2>
      <a:lt2>
        <a:srgbClr val="EEEEEE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/>
      </a:majorFont>
      <a:minorFont>
        <a:latin typeface="Aptos"/>
      </a:minorFont>
    </a:fontScheme>
    <a:fmtScheme name="Office">
      <a:fillStyleLst/>
      <a:lnStyleLst/>
      <a:effectStyleLst/>
      <a:bgFillStyleLst/>
    </a:fmtScheme>
  </a:themeElements>
</a:theme>
</file>

<file path=xl/worksheets/_rels/sheet8.xml.rels><?xml version="1.0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selection activeCell="A1" sqref="A1"/>
    </sheetView>
  </sheetViews>
  <cols>
    <col min="1" max="1" width="24" customWidth="1"/>
    <col min="2" max="2" width="115" customWidth="1"/>
  </cols>
  <sheetData>
    <row r="1">
      <c r="A1" s="1" t="inlineStr">
        <is>
          <t>WorkInSync Seat-Planning Model</t>
        </is>
      </c>
    </row>
    <row r="2" ht="30" customHeight="1">
      <c r="A2" s="9" t="inlineStr">
        <is>
          <t>Case-model template. Blue cells are editable inputs; black cells contain live formulas.</t>
        </is>
      </c>
    </row>
    <row r="4" ht="32" customHeight="1">
      <c r="A4" s="2" t="inlineStr">
        <is>
          <t>Purpose</t>
        </is>
      </c>
      <c r="B4" s="9" t="inlineStr">
        <is>
          <t>Model min-max seat demand and a Facilities KPI scorecard for the case study.</t>
        </is>
      </c>
    </row>
    <row r="6" ht="32" customHeight="1">
      <c r="A6" s="2" t="inlineStr">
        <is>
          <t>How to use</t>
        </is>
      </c>
      <c r="B6" s="9" t="inlineStr">
        <is>
          <t>1. Update blue cells in Inputs. 2. Review scenario validation. 3. Review per-office sizing, sensitivity, and KPI template.</t>
        </is>
      </c>
    </row>
    <row r="8" ht="32" customHeight="1">
      <c r="A8" s="2" t="inlineStr">
        <is>
          <t>Important</t>
        </is>
      </c>
      <c r="B8" s="9" t="inlineStr">
        <is>
          <t>All values are modeled estimates. Scenario B/C profiles and KPI samples are assumptions or SYNTHETIC / ILLUSTRATIVE.</t>
        </is>
      </c>
    </row>
    <row r="10" ht="32" customHeight="1">
      <c r="A10" s="2" t="inlineStr">
        <is>
          <t>Color legend</t>
        </is>
      </c>
      <c r="B10" s="9" t="inlineStr">
        <is>
          <t>Blue = editable input; Black = formula/output; Green = validated/illustrative output.</t>
        </is>
      </c>
    </row>
    <row r="12" ht="32" customHeight="1">
      <c r="A12" s="2" t="inlineStr">
        <is>
          <t>Model logic</t>
        </is>
      </c>
      <c r="B12" s="9" t="inlineStr">
        <is>
          <t>Seats = MIN(headcount, ROUNDUP(peak attendance × (1 + buffer), 0)). Offices cannot pool seats across countries.</t>
        </is>
      </c>
    </row>
    <row r="14" ht="32" customHeight="1">
      <c r="A14" s="2" t="inlineStr">
        <is>
          <t>Recommendation logic</t>
        </is>
      </c>
      <c r="B14" s="9" t="inlineStr">
        <is>
          <t>Use managed attendance plus an additional contingency only after the pilot; review with real check-in data after 8 weeks.</t>
        </is>
      </c>
    </row>
  </sheetData>
  <mergeCells count="2">
    <mergeCell ref="A1:B1"/>
    <mergeCell ref="A2:B2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selection activeCell="A1" sqref="A1"/>
    </sheetView>
  </sheetViews>
  <cols>
    <col min="1" max="1" width="38" customWidth="1"/>
    <col min="2" max="2" width="18" customWidth="1"/>
    <col min="3" max="3" width="48" customWidth="1"/>
    <col min="4" max="4" width="16" customWidth="1"/>
    <col min="5" max="5" width="16" customWidth="1"/>
    <col min="6" max="6" width="18" customWidth="1"/>
    <col min="7" max="7" width="50" customWidth="1"/>
  </cols>
  <sheetData>
    <row r="1">
      <c r="A1" s="1" t="inlineStr">
        <is>
          <t>Inputs</t>
        </is>
      </c>
    </row>
    <row r="2" ht="30" customHeight="1">
      <c r="A2" s="9" t="inlineStr">
        <is>
          <t>Editable parameters. Illustrative defaults are assumptions, not customer facts.</t>
        </is>
      </c>
    </row>
    <row r="4">
      <c r="A4" s="2" t="inlineStr">
        <is>
          <t>Global input</t>
        </is>
      </c>
      <c r="B4" s="2" t="inlineStr">
        <is>
          <t>Value</t>
        </is>
      </c>
      <c r="C4" s="2" t="inlineStr">
        <is>
          <t>Status / note</t>
        </is>
      </c>
      <c r="E4" s="2" t="inlineStr">
        <is>
          <t>Policy adherence</t>
        </is>
      </c>
      <c r="F4" s="2" t="inlineStr">
        <is>
          <t>Value</t>
        </is>
      </c>
    </row>
    <row r="5">
      <c r="A5" s="6" t="inlineStr">
        <is>
          <t>Total headcount</t>
        </is>
      </c>
      <c r="B5" s="5">
        <v>2000</v>
      </c>
      <c r="C5" s="9" t="inlineStr">
        <is>
          <t>Given in case</t>
        </is>
      </c>
      <c r="E5" s="6" t="inlineStr">
        <is>
          <t>80%</t>
        </is>
      </c>
      <c r="F5" s="4">
        <v>0.8</v>
      </c>
    </row>
    <row r="6">
      <c r="A6" s="6" t="inlineStr">
        <is>
          <t>In-office days per person / week</t>
        </is>
      </c>
      <c r="B6" s="5">
        <v>3</v>
      </c>
      <c r="C6" s="9" t="inlineStr">
        <is>
          <t>Given in case</t>
        </is>
      </c>
      <c r="E6" s="6" t="inlineStr">
        <is>
          <t>90%</t>
        </is>
      </c>
      <c r="F6" s="4">
        <v>0.9</v>
      </c>
    </row>
    <row r="7">
      <c r="A7" s="6" t="inlineStr">
        <is>
          <t>Default working days / week</t>
        </is>
      </c>
      <c r="B7" s="5">
        <v>5</v>
      </c>
      <c r="C7" s="9" t="inlineStr">
        <is>
          <t>Assumption; per-office override allowed</t>
        </is>
      </c>
      <c r="E7" s="6" t="inlineStr">
        <is>
          <t>100%</t>
        </is>
      </c>
      <c r="F7" s="4">
        <v>1</v>
      </c>
    </row>
    <row r="8">
      <c r="A8" s="6" t="inlineStr">
        <is>
          <t>Planning buffer</t>
        </is>
      </c>
      <c r="B8" s="4">
        <v>0.05</v>
      </c>
      <c r="C8" s="9" t="inlineStr">
        <is>
          <t>Assumption</t>
        </is>
      </c>
    </row>
    <row r="9">
      <c r="A9" s="6" t="inlineStr">
        <is>
          <t>Confidence level</t>
        </is>
      </c>
      <c r="B9" s="4">
        <v>0.95</v>
      </c>
      <c r="C9" s="9" t="inlineStr">
        <is>
          <t>Assumption</t>
        </is>
      </c>
    </row>
    <row r="10">
      <c r="A10" s="6" t="inlineStr">
        <is>
          <t>z score</t>
        </is>
      </c>
      <c r="B10" s="3">
        <v>1.645</v>
      </c>
      <c r="C10" s="9" t="inlineStr">
        <is>
          <t>Assumption</t>
        </is>
      </c>
    </row>
    <row r="11">
      <c r="A11" s="6" t="inlineStr">
        <is>
          <t>One (formula constant)</t>
        </is>
      </c>
      <c r="B11" s="3">
        <v>1</v>
      </c>
      <c r="C11" s="9" t="inlineStr">
        <is>
          <t>Technical input; do not change</t>
        </is>
      </c>
    </row>
    <row r="12">
      <c r="A12" s="6" t="inlineStr">
        <is>
          <t>Rounding digits</t>
        </is>
      </c>
      <c r="B12" s="3">
        <v>0</v>
      </c>
      <c r="C12" s="9" t="inlineStr">
        <is>
          <t>Technical input; do not change</t>
        </is>
      </c>
    </row>
    <row r="13">
      <c r="A13" s="6" t="inlineStr">
        <is>
          <t>Attendance probability p</t>
        </is>
      </c>
      <c r="B13" s="4">
        <f>B6/B7</f>
        <v>0.6</v>
      </c>
      <c r="C13" s="9" t="inlineStr">
        <is>
          <t>Formula: days / working days</t>
        </is>
      </c>
    </row>
    <row r="14">
      <c r="A14" s="6" t="inlineStr">
        <is>
          <t>High-peak buffer</t>
        </is>
      </c>
      <c r="B14" s="4">
        <v>0.1</v>
      </c>
      <c r="C14" s="9" t="inlineStr">
        <is>
          <t>Sensitivity assumption</t>
        </is>
      </c>
    </row>
    <row r="16">
      <c r="A16" s="2" t="inlineStr">
        <is>
          <t>Scenario profiles (attendance % of headcount)</t>
        </is>
      </c>
      <c r="B16" s="2" t="inlineStr">
        <is>
          <t>Mon</t>
        </is>
      </c>
      <c r="C16" s="2" t="inlineStr">
        <is>
          <t>Tue</t>
        </is>
      </c>
      <c r="D16" s="2" t="inlineStr">
        <is>
          <t>Wed</t>
        </is>
      </c>
      <c r="E16" s="2" t="inlineStr">
        <is>
          <t>Thu</t>
        </is>
      </c>
      <c r="F16" s="2" t="inlineStr">
        <is>
          <t>Fri</t>
        </is>
      </c>
      <c r="G16" s="2" t="inlineStr">
        <is>
          <t>Profile note</t>
        </is>
      </c>
    </row>
    <row r="17">
      <c r="A17" s="6" t="inlineStr">
        <is>
          <t>A. Perfectly balanced</t>
        </is>
      </c>
      <c r="B17" s="4">
        <v>0.6</v>
      </c>
      <c r="C17" s="4">
        <v>0.6</v>
      </c>
      <c r="D17" s="4">
        <v>0.6</v>
      </c>
      <c r="E17" s="4">
        <v>0.6</v>
      </c>
      <c r="F17" s="4">
        <v>0.6</v>
      </c>
      <c r="G17" s="9" t="inlineStr">
        <is>
          <t>Policy-assigned days</t>
        </is>
      </c>
    </row>
    <row r="18">
      <c r="A18" s="6" t="inlineStr">
        <is>
          <t>B. Managed</t>
        </is>
      </c>
      <c r="B18" s="4">
        <v>0.5</v>
      </c>
      <c r="C18" s="4">
        <v>0.65</v>
      </c>
      <c r="D18" s="4">
        <v>0.65</v>
      </c>
      <c r="E18" s="4">
        <v>0.65</v>
      </c>
      <c r="F18" s="4">
        <v>0.55</v>
      </c>
      <c r="G18" s="9" t="inlineStr">
        <is>
          <t>MODELING ASSUMPTION: team anchors / soft cap</t>
        </is>
      </c>
    </row>
    <row r="19">
      <c r="A19" s="6" t="inlineStr">
        <is>
          <t>C. Unmanaged</t>
        </is>
      </c>
      <c r="B19" s="4">
        <v>0.45</v>
      </c>
      <c r="C19" s="4">
        <v>0.7</v>
      </c>
      <c r="D19" s="4">
        <v>0.75</v>
      </c>
      <c r="E19" s="4">
        <v>0.7</v>
      </c>
      <c r="F19" s="4">
        <v>0.4</v>
      </c>
      <c r="G19" s="9" t="inlineStr">
        <is>
          <t>MODELING ASSUMPTION: free choice / Tue-Thu skew</t>
        </is>
      </c>
    </row>
    <row r="20">
      <c r="A20" s="6" t="inlineStr">
        <is>
          <t>D. Worst case</t>
        </is>
      </c>
      <c r="B20" s="4">
        <v>1</v>
      </c>
      <c r="C20" s="4">
        <v>1</v>
      </c>
      <c r="D20" s="4">
        <v>1</v>
      </c>
      <c r="E20" s="4">
        <v>0</v>
      </c>
      <c r="F20" s="4">
        <v>0</v>
      </c>
      <c r="G20" s="9" t="inlineStr">
        <is>
          <t>All choose the same three days</t>
        </is>
      </c>
    </row>
    <row r="23">
      <c r="A23" s="2" t="inlineStr">
        <is>
          <t>Illustrative per-office inputs</t>
        </is>
      </c>
      <c r="B23" s="2" t="inlineStr">
        <is>
          <t>Headcount</t>
        </is>
      </c>
      <c r="C23" s="2" t="inlineStr">
        <is>
          <t>Working days</t>
        </is>
      </c>
      <c r="D23" s="2" t="inlineStr">
        <is>
          <t>Planning peak</t>
        </is>
      </c>
      <c r="E23" s="2" t="inlineStr">
        <is>
          <t>Buffer</t>
        </is>
      </c>
      <c r="F23" s="2" t="inlineStr">
        <is>
          <t>Country</t>
        </is>
      </c>
    </row>
    <row r="24">
      <c r="A24" s="6" t="inlineStr">
        <is>
          <t>Office 1</t>
        </is>
      </c>
      <c r="B24" s="5">
        <v>1000</v>
      </c>
      <c r="C24" s="3">
        <v>5</v>
      </c>
      <c r="D24" s="4">
        <v>0.65</v>
      </c>
      <c r="E24" s="4">
        <v>0.05</v>
      </c>
      <c r="F24" s="3" t="inlineStr">
        <is>
          <t>UNKNOWN</t>
        </is>
      </c>
    </row>
    <row r="25">
      <c r="A25" s="6" t="inlineStr">
        <is>
          <t>Office 2</t>
        </is>
      </c>
      <c r="B25" s="5">
        <v>600</v>
      </c>
      <c r="C25" s="3">
        <v>5</v>
      </c>
      <c r="D25" s="4">
        <v>0.65</v>
      </c>
      <c r="E25" s="4">
        <v>0.05</v>
      </c>
      <c r="F25" s="3" t="inlineStr">
        <is>
          <t>UNKNOWN</t>
        </is>
      </c>
    </row>
    <row r="26">
      <c r="A26" s="6" t="inlineStr">
        <is>
          <t>Office 3</t>
        </is>
      </c>
      <c r="B26" s="5">
        <v>400</v>
      </c>
      <c r="C26" s="3">
        <v>5</v>
      </c>
      <c r="D26" s="4">
        <v>0.65</v>
      </c>
      <c r="E26" s="4">
        <v>0.05</v>
      </c>
      <c r="F26" s="3" t="inlineStr">
        <is>
          <t>UNKNOWN</t>
        </is>
      </c>
    </row>
    <row r="29">
      <c r="A29" s="2" t="inlineStr">
        <is>
          <t>SYNTHETIC / ILLUSTRATIVE KPI sample inputs</t>
        </is>
      </c>
      <c r="B29" s="2" t="inlineStr">
        <is>
          <t>Sample</t>
        </is>
      </c>
      <c r="C29" s="2" t="inlineStr">
        <is>
          <t>Illustrative target</t>
        </is>
      </c>
    </row>
    <row r="30">
      <c r="A30" s="6" t="inlineStr">
        <is>
          <t>Peak-day utilization</t>
        </is>
      </c>
      <c r="B30" s="4">
        <v>0.86</v>
      </c>
      <c r="C30" s="3" t="inlineStr">
        <is>
          <t>80–90%; calibrate after 4–8 week baseline</t>
        </is>
      </c>
    </row>
    <row r="31">
      <c r="A31" s="6" t="inlineStr">
        <is>
          <t>Weekday utilization skew</t>
        </is>
      </c>
      <c r="B31" s="4">
        <v>0.18</v>
      </c>
      <c r="C31" s="3" t="inlineStr">
        <is>
          <t>Narrowing; calibrate after baseline</t>
        </is>
      </c>
    </row>
    <row r="32">
      <c r="A32" s="6" t="inlineStr">
        <is>
          <t>Cost / employee-day</t>
        </is>
      </c>
      <c r="B32" s="3">
        <v>42</v>
      </c>
      <c r="C32" s="3" t="inlineStr">
        <is>
          <t>Trending down; calibrate after baseline</t>
        </is>
      </c>
    </row>
    <row r="33">
      <c r="A33" s="6" t="inlineStr">
        <is>
          <t>Seat denial rate</t>
        </is>
      </c>
      <c r="B33" s="4">
        <v>0.015</v>
      </c>
      <c r="C33" s="3" t="inlineStr">
        <is>
          <t>&lt;2%; calibrate after baseline</t>
        </is>
      </c>
    </row>
    <row r="34">
      <c r="A34" s="6" t="inlineStr">
        <is>
          <t>No-show rate</t>
        </is>
      </c>
      <c r="B34" s="4">
        <v>0.12</v>
      </c>
      <c r="C34" s="3" t="inlineStr">
        <is>
          <t>&lt;10–15%; calibrate after baseline</t>
        </is>
      </c>
    </row>
    <row r="35">
      <c r="A35" s="6" t="inlineStr">
        <is>
          <t>Workplace CSAT</t>
        </is>
      </c>
      <c r="B35" s="3">
        <v>4.2</v>
      </c>
      <c r="C35" s="3" t="inlineStr">
        <is>
          <t>≥4/5; calibrate after baseline</t>
        </is>
      </c>
    </row>
    <row r="36">
      <c r="A36" s="6" t="inlineStr">
        <is>
          <t>Team co-presence</t>
        </is>
      </c>
      <c r="B36" s="4">
        <v>0.78</v>
      </c>
      <c r="C36" s="3" t="inlineStr">
        <is>
          <t>Improving; calibrate after baseline</t>
        </is>
      </c>
    </row>
    <row r="37">
      <c r="A37" s="6" t="inlineStr">
        <is>
          <t>Ticket SLA adherence</t>
        </is>
      </c>
      <c r="B37" s="4">
        <v>0.96</v>
      </c>
      <c r="C37" s="3" t="inlineStr">
        <is>
          <t>≥95%; calibrate after baseline</t>
        </is>
      </c>
    </row>
    <row r="38">
      <c r="A38" s="6" t="inlineStr">
        <is>
          <t>Repeat-issue rate</t>
        </is>
      </c>
      <c r="B38" s="4">
        <v>0.08</v>
      </c>
      <c r="C38" s="3" t="inlineStr">
        <is>
          <t>Down; calibrate after baseline</t>
        </is>
      </c>
    </row>
    <row r="39">
      <c r="A39" s="6" t="inlineStr">
        <is>
          <t>Open critical incidents</t>
        </is>
      </c>
      <c r="B39" s="3">
        <v>0</v>
      </c>
      <c r="C39" s="3" t="inlineStr">
        <is>
          <t>Zero critical open; calibrate after baseline</t>
        </is>
      </c>
    </row>
    <row r="40">
      <c r="A40" s="6" t="inlineStr">
        <is>
          <t>Energy / occupied seat-day</t>
        </is>
      </c>
      <c r="B40" s="3">
        <v>5.6</v>
      </c>
      <c r="C40" s="3" t="inlineStr">
        <is>
          <t>Down vs baseline</t>
        </is>
      </c>
    </row>
    <row r="41">
      <c r="A41" s="6" t="inlineStr">
        <is>
          <t>Budget variance</t>
        </is>
      </c>
      <c r="B41" s="4">
        <v>0.03</v>
      </c>
      <c r="C41" s="3" t="inlineStr">
        <is>
          <t>Within ±5%; calibrate after baseline</t>
        </is>
      </c>
    </row>
  </sheetData>
  <mergeCells count="2">
    <mergeCell ref="A1:C1"/>
    <mergeCell ref="A2:C2"/>
  </mergeCell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selection activeCell="A1" sqref="A1"/>
    </sheetView>
  </sheetViews>
  <cols>
    <col min="1" max="1" width="29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5" customWidth="1"/>
    <col min="10" max="10" width="20" customWidth="1"/>
  </cols>
  <sheetData>
    <row r="1">
      <c r="A1" s="1" t="inlineStr">
        <is>
          <t>Scenarios</t>
        </is>
      </c>
    </row>
    <row r="2" ht="30" customHeight="1">
      <c r="A2" s="9" t="inlineStr">
        <is>
          <t>All outputs use Inputs sheet references. Scenario B and C profiles are modeling assumptions.</t>
        </is>
      </c>
    </row>
    <row r="5" ht="28" customHeight="1">
      <c r="A5" s="2" t="inlineStr">
        <is>
          <t>Scenario</t>
        </is>
      </c>
      <c r="B5" s="2" t="inlineStr">
        <is>
          <t>Mon load</t>
        </is>
      </c>
      <c r="C5" s="2" t="inlineStr">
        <is>
          <t>Tue load</t>
        </is>
      </c>
      <c r="D5" s="2" t="inlineStr">
        <is>
          <t>Wed load</t>
        </is>
      </c>
      <c r="E5" s="2" t="inlineStr">
        <is>
          <t>Thu load</t>
        </is>
      </c>
      <c r="F5" s="2" t="inlineStr">
        <is>
          <t>Fri load</t>
        </is>
      </c>
      <c r="G5" s="2" t="inlineStr">
        <is>
          <t>Profile sum</t>
        </is>
      </c>
      <c r="H5" s="2" t="inlineStr">
        <is>
          <t>Validation</t>
        </is>
      </c>
      <c r="I5" s="2" t="inlineStr">
        <is>
          <t>Peak load</t>
        </is>
      </c>
      <c r="J5" s="2" t="inlineStr">
        <is>
          <t>Seats with buffer</t>
        </is>
      </c>
    </row>
    <row r="6">
      <c r="A6" s="6" t="str">
        <f>Inputs!$A$17</f>
        <v>A. Perfectly balanced</v>
      </c>
      <c r="B6" s="8">
        <f>Inputs!$B$5*Inputs!$B$17</f>
        <v>1200</v>
      </c>
      <c r="C6" s="8">
        <f>Inputs!$B$5*Inputs!$C$17</f>
        <v>1200</v>
      </c>
      <c r="D6" s="8">
        <f>Inputs!$B$5*Inputs!$D$17</f>
        <v>1200</v>
      </c>
      <c r="E6" s="8">
        <f>Inputs!$B$5*Inputs!$E$17</f>
        <v>1200</v>
      </c>
      <c r="F6" s="8">
        <f>Inputs!$B$5*Inputs!$F$17</f>
        <v>1200</v>
      </c>
      <c r="G6" s="7">
        <f>SUM(Inputs!$B$17:Inputs!$F$17)</f>
        <v>3</v>
      </c>
      <c r="H6" s="10" t="str">
        <f>IF(G6=Inputs!$B$6,"OK","CHECK")</f>
        <v>OK</v>
      </c>
      <c r="I6" s="8">
        <f>MAX(B6:F6)</f>
        <v>1200</v>
      </c>
      <c r="J6" s="8">
        <f>MIN(Inputs!$B$5,ROUNDUP(I6*(Inputs!$B$11+Inputs!$B$8),Inputs!$B$12))</f>
        <v>1260</v>
      </c>
    </row>
    <row r="7">
      <c r="A7" s="6" t="str">
        <f>Inputs!$A$18</f>
        <v>B. Managed</v>
      </c>
      <c r="B7" s="8">
        <f>Inputs!$B$5*Inputs!$B$18</f>
        <v>1000</v>
      </c>
      <c r="C7" s="8">
        <f>Inputs!$B$5*Inputs!$C$18</f>
        <v>1300</v>
      </c>
      <c r="D7" s="8">
        <f>Inputs!$B$5*Inputs!$D$18</f>
        <v>1300</v>
      </c>
      <c r="E7" s="8">
        <f>Inputs!$B$5*Inputs!$E$18</f>
        <v>1300</v>
      </c>
      <c r="F7" s="8">
        <f>Inputs!$B$5*Inputs!$F$18</f>
        <v>1100</v>
      </c>
      <c r="G7" s="7">
        <f>SUM(Inputs!$B$18:Inputs!$F$18)</f>
        <v>3</v>
      </c>
      <c r="H7" s="10" t="str">
        <f>IF(G7=Inputs!$B$6,"OK","CHECK")</f>
        <v>OK</v>
      </c>
      <c r="I7" s="8">
        <f>MAX(B7:F7)</f>
        <v>1300</v>
      </c>
      <c r="J7" s="8">
        <f>MIN(Inputs!$B$5,ROUNDUP(I7*(Inputs!$B$11+Inputs!$B$8),Inputs!$B$12))</f>
        <v>1365</v>
      </c>
    </row>
    <row r="8">
      <c r="A8" s="6" t="str">
        <f>Inputs!$A$19</f>
        <v>C. Unmanaged</v>
      </c>
      <c r="B8" s="8">
        <f>Inputs!$B$5*Inputs!$B$19</f>
        <v>900</v>
      </c>
      <c r="C8" s="8">
        <f>Inputs!$B$5*Inputs!$C$19</f>
        <v>1400</v>
      </c>
      <c r="D8" s="8">
        <f>Inputs!$B$5*Inputs!$D$19</f>
        <v>1500</v>
      </c>
      <c r="E8" s="8">
        <f>Inputs!$B$5*Inputs!$E$19</f>
        <v>1400</v>
      </c>
      <c r="F8" s="8">
        <f>Inputs!$B$5*Inputs!$F$19</f>
        <v>800</v>
      </c>
      <c r="G8" s="7">
        <f>SUM(Inputs!$B$19:Inputs!$F$19)</f>
        <v>3</v>
      </c>
      <c r="H8" s="10" t="str">
        <f>IF(G8=Inputs!$B$6,"OK","CHECK")</f>
        <v>OK</v>
      </c>
      <c r="I8" s="8">
        <f>MAX(B8:F8)</f>
        <v>1500</v>
      </c>
      <c r="J8" s="8">
        <f>MIN(Inputs!$B$5,ROUNDUP(I8*(Inputs!$B$11+Inputs!$B$8),Inputs!$B$12))</f>
        <v>1575</v>
      </c>
    </row>
    <row r="9">
      <c r="A9" s="6" t="str">
        <f>Inputs!$A$20</f>
        <v>D. Worst case</v>
      </c>
      <c r="B9" s="8">
        <f>Inputs!$B$5*Inputs!$B$20</f>
        <v>2000</v>
      </c>
      <c r="C9" s="8">
        <f>Inputs!$B$5*Inputs!$C$20</f>
        <v>2000</v>
      </c>
      <c r="D9" s="8">
        <f>Inputs!$B$5*Inputs!$D$20</f>
        <v>2000</v>
      </c>
      <c r="E9" s="8">
        <f>Inputs!$B$5*Inputs!$E$20</f>
        <v>0</v>
      </c>
      <c r="F9" s="8">
        <f>Inputs!$B$5*Inputs!$F$20</f>
        <v>0</v>
      </c>
      <c r="G9" s="7">
        <f>SUM(Inputs!$B$20:Inputs!$F$20)</f>
        <v>3</v>
      </c>
      <c r="H9" s="10" t="str">
        <f>IF(G9=Inputs!$B$6,"OK","CHECK")</f>
        <v>OK</v>
      </c>
      <c r="I9" s="8">
        <f>MAX(B9:F9)</f>
        <v>2000</v>
      </c>
      <c r="J9" s="8">
        <f>MIN(Inputs!$B$5,ROUNDUP(I9*(Inputs!$B$11+Inputs!$B$8),Inputs!$B$12))</f>
        <v>2000</v>
      </c>
    </row>
    <row r="12" ht="30" customHeight="1">
      <c r="A12" s="2" t="inlineStr">
        <is>
          <t>Interpretation</t>
        </is>
      </c>
      <c r="B12" s="9" t="inlineStr">
        <is>
          <t>Average daily load is a hard floor. Peak-day behavior—not average attendance—determines the desk count.</t>
        </is>
      </c>
    </row>
  </sheetData>
  <mergeCells count="3">
    <mergeCell ref="A1:J1"/>
    <mergeCell ref="A2:J2"/>
    <mergeCell ref="B12:J12"/>
  </mergeCell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selection activeCell="A1" sqref="A1"/>
    </sheetView>
  </sheetViews>
  <cols>
    <col min="1" max="1" width="16" customWidth="1"/>
    <col min="2" max="2" width="16" customWidth="1"/>
    <col min="3" max="3" width="15" customWidth="1"/>
    <col min="4" max="4" width="15" customWidth="1"/>
    <col min="5" max="5" width="18" customWidth="1"/>
    <col min="6" max="6" width="16" customWidth="1"/>
    <col min="7" max="7" width="14" customWidth="1"/>
    <col min="8" max="8" width="18" customWidth="1"/>
  </cols>
  <sheetData>
    <row r="1">
      <c r="A1" s="1" t="inlineStr">
        <is>
          <t>Per_Office</t>
        </is>
      </c>
    </row>
    <row r="2" ht="30" customHeight="1">
      <c r="A2" s="9" t="inlineStr">
        <is>
          <t>Illustrative split only. Seats are sized separately because capacity cannot be pooled across countries.</t>
        </is>
      </c>
    </row>
    <row r="5" ht="28" customHeight="1">
      <c r="A5" s="2" t="inlineStr">
        <is>
          <t>Office</t>
        </is>
      </c>
      <c r="B5" s="2" t="inlineStr">
        <is>
          <t>Country</t>
        </is>
      </c>
      <c r="C5" s="2" t="inlineStr">
        <is>
          <t>Headcount</t>
        </is>
      </c>
      <c r="D5" s="2" t="inlineStr">
        <is>
          <t>Working days</t>
        </is>
      </c>
      <c r="E5" s="2" t="inlineStr">
        <is>
          <t>p = days / week</t>
        </is>
      </c>
      <c r="F5" s="2" t="inlineStr">
        <is>
          <t>Planning peak</t>
        </is>
      </c>
      <c r="G5" s="2" t="inlineStr">
        <is>
          <t>Buffer</t>
        </is>
      </c>
      <c r="H5" s="2" t="inlineStr">
        <is>
          <t>Seats required</t>
        </is>
      </c>
    </row>
    <row r="6">
      <c r="A6" s="6" t="str">
        <f>Inputs!$A$24</f>
        <v>Office 1</v>
      </c>
      <c r="B6" s="6" t="str">
        <f>Inputs!$F$24</f>
        <v>UNKNOWN</v>
      </c>
      <c r="C6" s="8">
        <f>Inputs!$B$24</f>
        <v>1000</v>
      </c>
      <c r="D6" s="6">
        <f>Inputs!$C$24</f>
        <v>5</v>
      </c>
      <c r="E6" s="7">
        <f>Inputs!$B$6/D6</f>
        <v>0.6</v>
      </c>
      <c r="F6" s="7">
        <f>Inputs!$D$24</f>
        <v>0.65</v>
      </c>
      <c r="G6" s="7">
        <f>Inputs!$E$24</f>
        <v>0.05</v>
      </c>
      <c r="H6" s="8">
        <f>MIN(C6,ROUNDUP(C6*F6*(Inputs!$B$11+G6),Inputs!$B$12))</f>
        <v>683</v>
      </c>
    </row>
    <row r="7">
      <c r="A7" s="6" t="str">
        <f>Inputs!$A$25</f>
        <v>Office 2</v>
      </c>
      <c r="B7" s="6" t="str">
        <f>Inputs!$F$25</f>
        <v>UNKNOWN</v>
      </c>
      <c r="C7" s="8">
        <f>Inputs!$B$25</f>
        <v>600</v>
      </c>
      <c r="D7" s="6">
        <f>Inputs!$C$25</f>
        <v>5</v>
      </c>
      <c r="E7" s="7">
        <f>Inputs!$B$6/D7</f>
        <v>0.6</v>
      </c>
      <c r="F7" s="7">
        <f>Inputs!$D$25</f>
        <v>0.65</v>
      </c>
      <c r="G7" s="7">
        <f>Inputs!$E$25</f>
        <v>0.05</v>
      </c>
      <c r="H7" s="8">
        <f>MIN(C7,ROUNDUP(C7*F7*(Inputs!$B$11+G7),Inputs!$B$12))</f>
        <v>410</v>
      </c>
    </row>
    <row r="8">
      <c r="A8" s="6" t="str">
        <f>Inputs!$A$26</f>
        <v>Office 3</v>
      </c>
      <c r="B8" s="6" t="str">
        <f>Inputs!$F$26</f>
        <v>UNKNOWN</v>
      </c>
      <c r="C8" s="8">
        <f>Inputs!$B$26</f>
        <v>400</v>
      </c>
      <c r="D8" s="6">
        <f>Inputs!$C$26</f>
        <v>5</v>
      </c>
      <c r="E8" s="7">
        <f>Inputs!$B$6/D8</f>
        <v>0.6</v>
      </c>
      <c r="F8" s="7">
        <f>Inputs!$D$26</f>
        <v>0.65</v>
      </c>
      <c r="G8" s="7">
        <f>Inputs!$E$26</f>
        <v>0.05</v>
      </c>
      <c r="H8" s="8">
        <f>MIN(C8,ROUNDUP(C8*F8*(Inputs!$B$11+G8),Inputs!$B$12))</f>
        <v>273</v>
      </c>
    </row>
    <row r="10">
      <c r="A10" s="2" t="inlineStr">
        <is>
          <t>Total</t>
        </is>
      </c>
      <c r="H10" s="8">
        <f>SUM(H6:H8)</f>
        <v>1366</v>
      </c>
    </row>
    <row r="12" ht="30" customHeight="1">
      <c r="A12" s="2" t="inlineStr">
        <is>
          <t>Worked illustration</t>
        </is>
      </c>
      <c r="B12" s="9" t="inlineStr">
        <is>
          <t>At 65% planning peak and 5% buffer: 683 / 410 / 273 = 1,366 seats.</t>
        </is>
      </c>
    </row>
  </sheetData>
  <mergeCells count="3">
    <mergeCell ref="A1:H1"/>
    <mergeCell ref="A2:H2"/>
    <mergeCell ref="B12:H12"/>
  </mergeCells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selection activeCell="A1" sqref="A1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</cols>
  <sheetData>
    <row r="1">
      <c r="A1" s="1" t="inlineStr">
        <is>
          <t>Stats_Check</t>
        </is>
      </c>
    </row>
    <row r="2" ht="30" customHeight="1">
      <c r="A2" s="9" t="inlineStr">
        <is>
          <t>Independent-randomness check. The case conclusion is that correlated behavior, not randomness, creates the large min-max spread.</t>
        </is>
      </c>
    </row>
    <row r="5">
      <c r="A5" s="2" t="inlineStr">
        <is>
          <t>Population n</t>
        </is>
      </c>
      <c r="B5" s="2" t="inlineStr">
        <is>
          <t>Mean n×p</t>
        </is>
      </c>
      <c r="C5" s="2" t="inlineStr">
        <is>
          <t>Std. dev.</t>
        </is>
      </c>
      <c r="D5" s="2" t="inlineStr">
        <is>
          <t>95% peak</t>
        </is>
      </c>
      <c r="E5" s="2" t="inlineStr">
        <is>
          <t>Margin vs mean</t>
        </is>
      </c>
    </row>
    <row r="6">
      <c r="A6" s="8">
        <f>Inputs!$B$5</f>
        <v>2000</v>
      </c>
      <c r="B6" s="8">
        <f>A6*Inputs!$B$13</f>
        <v>1200</v>
      </c>
      <c r="C6" s="8">
        <f>SQRT(A6*Inputs!$B$13*(Inputs!$B$11-Inputs!$B$13))</f>
        <v>21.909</v>
      </c>
      <c r="D6" s="8">
        <f>B6+Inputs!$B$10*C6</f>
        <v>1236.04</v>
      </c>
      <c r="E6" s="7">
        <f>(D6-B6)/B6</f>
        <v>0.03</v>
      </c>
    </row>
    <row r="7">
      <c r="A7" s="8">
        <f>Inputs!$B$24</f>
        <v>1000</v>
      </c>
      <c r="B7" s="8">
        <f>A7*Inputs!$B$13</f>
        <v>600</v>
      </c>
      <c r="C7" s="8">
        <f>SQRT(A7*Inputs!$B$13*(Inputs!$B$11-Inputs!$B$13))</f>
        <v>15.492</v>
      </c>
      <c r="D7" s="8">
        <f>B7+Inputs!$B$10*C7</f>
        <v>625.48</v>
      </c>
      <c r="E7" s="7">
        <f>(D7-B7)/B7</f>
        <v>0.0425</v>
      </c>
    </row>
    <row r="8">
      <c r="A8" s="8">
        <f>Inputs!$B$26</f>
        <v>400</v>
      </c>
      <c r="B8" s="8">
        <f>A8*Inputs!$B$13</f>
        <v>240</v>
      </c>
      <c r="C8" s="8">
        <f>SQRT(A8*Inputs!$B$13*(Inputs!$B$11-Inputs!$B$13))</f>
        <v>9.798</v>
      </c>
      <c r="D8" s="8">
        <f>B8+Inputs!$B$10*C8</f>
        <v>256.12</v>
      </c>
      <c r="E8" s="7">
        <f>(D8-B8)/B8</f>
        <v>0.0672</v>
      </c>
    </row>
    <row r="11" ht="34" customHeight="1">
      <c r="A11" s="2" t="inlineStr">
        <is>
          <t>Conclusion</t>
        </is>
      </c>
      <c r="B11" s="9" t="inlineStr">
        <is>
          <t>Random variation adds ~3% for 2,000 people; policy and booking must manage correlated weekday peaks. Smaller offices need a larger relative buffer.</t>
        </is>
      </c>
    </row>
  </sheetData>
  <mergeCells count="3">
    <mergeCell ref="A1:E1"/>
    <mergeCell ref="A2:E2"/>
    <mergeCell ref="B11:E11"/>
  </mergeCells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selection activeCell="A1" sqref="A1"/>
    </sheetView>
  </sheetViews>
  <cols>
    <col min="1" max="1" width="30" customWidth="1"/>
    <col min="2" max="2" width="16" customWidth="1"/>
    <col min="3" max="3" width="19" customWidth="1"/>
    <col min="4" max="4" width="14" customWidth="1"/>
    <col min="5" max="5" width="18" customWidth="1"/>
    <col min="6" max="6" width="20" customWidth="1"/>
  </cols>
  <sheetData>
    <row r="1">
      <c r="A1" s="1" t="inlineStr">
        <is>
          <t>Sensitivity</t>
        </is>
      </c>
    </row>
    <row r="2" ht="30" customHeight="1">
      <c r="A2" s="9" t="inlineStr">
        <is>
          <t>Computed scenarios show the effect of working days, peak attendance, buffer, and policy adherence.</t>
        </is>
      </c>
    </row>
    <row r="5">
      <c r="A5" s="2" t="inlineStr">
        <is>
          <t>Case</t>
        </is>
      </c>
      <c r="B5" s="2" t="inlineStr">
        <is>
          <t>Working days</t>
        </is>
      </c>
      <c r="C5" s="2" t="inlineStr">
        <is>
          <t>Peak attendance</t>
        </is>
      </c>
      <c r="D5" s="2" t="inlineStr">
        <is>
          <t>Buffer</t>
        </is>
      </c>
      <c r="E5" s="2" t="inlineStr">
        <is>
          <t>Policy adherence</t>
        </is>
      </c>
      <c r="F5" s="2" t="inlineStr">
        <is>
          <t>Required seats</t>
        </is>
      </c>
    </row>
    <row r="6">
      <c r="A6" s="6" t="inlineStr">
        <is>
          <t>Balanced / 5-day</t>
        </is>
      </c>
      <c r="B6" s="6">
        <f>Inputs!$B$7</f>
        <v>5</v>
      </c>
      <c r="C6" s="7">
        <f>Inputs!$B$13</f>
        <v>0.6</v>
      </c>
      <c r="D6" s="7">
        <f>Inputs!$B$8</f>
        <v>0.05</v>
      </c>
      <c r="E6" s="7">
        <f>Inputs!$F$7</f>
        <v>1</v>
      </c>
      <c r="F6" s="8">
        <f>MIN(Inputs!$B$5,ROUNDUP(Inputs!$B$5*C6*(Inputs!$B$11+D6),Inputs!$B$12))</f>
        <v>1260</v>
      </c>
    </row>
    <row r="7">
      <c r="A7" s="6" t="inlineStr">
        <is>
          <t>Managed / 5-day</t>
        </is>
      </c>
      <c r="B7" s="6">
        <f>Inputs!$B$7</f>
        <v>5</v>
      </c>
      <c r="C7" s="7">
        <f>MAX(Inputs!$B$18:Inputs!$F$18)</f>
        <v>0.65</v>
      </c>
      <c r="D7" s="7">
        <f>Inputs!$B$8</f>
        <v>0.05</v>
      </c>
      <c r="E7" s="7">
        <f>Inputs!$F$7</f>
        <v>1</v>
      </c>
      <c r="F7" s="8">
        <f>MIN(Inputs!$B$5,ROUNDUP(Inputs!$B$5*C7*(Inputs!$B$11+D7),Inputs!$B$12))</f>
        <v>1365</v>
      </c>
    </row>
    <row r="8">
      <c r="A8" s="6" t="inlineStr">
        <is>
          <t>6-day average</t>
        </is>
      </c>
      <c r="B8" s="6">
        <f>Inputs!$B$7+Inputs!$B$11</f>
        <v>6</v>
      </c>
      <c r="C8" s="7">
        <f>Inputs!$B$6/B8</f>
        <v>0.5</v>
      </c>
      <c r="D8" s="7">
        <f>Inputs!$B$8</f>
        <v>0.05</v>
      </c>
      <c r="E8" s="7">
        <f>Inputs!$F$7</f>
        <v>1</v>
      </c>
      <c r="F8" s="8">
        <f>MIN(Inputs!$B$5,ROUNDUP(Inputs!$B$5*C8*(Inputs!$B$11+D8),Inputs!$B$12))</f>
        <v>1050</v>
      </c>
    </row>
    <row r="9">
      <c r="A9" s="6" t="inlineStr">
        <is>
          <t>High peak + buffer</t>
        </is>
      </c>
      <c r="B9" s="6">
        <f>Inputs!$B$7</f>
        <v>5</v>
      </c>
      <c r="C9" s="7">
        <f>MAX(Inputs!$B$19:Inputs!$F$19)</f>
        <v>0.75</v>
      </c>
      <c r="D9" s="7">
        <f>Inputs!$B$14</f>
        <v>0.1</v>
      </c>
      <c r="E9" s="7">
        <f>Inputs!$F$7</f>
        <v>1</v>
      </c>
      <c r="F9" s="8">
        <f>MIN(Inputs!$B$5,ROUNDUP(Inputs!$B$5*C9*(Inputs!$B$11+D9),Inputs!$B$12))</f>
        <v>1650</v>
      </c>
    </row>
    <row r="10">
      <c r="A10" s="6" t="inlineStr">
        <is>
          <t>Managed / 80% adherence</t>
        </is>
      </c>
      <c r="B10" s="6">
        <f>Inputs!$B$7</f>
        <v>5</v>
      </c>
      <c r="C10" s="7">
        <f>Inputs!$B$11-(Inputs!$B$11-MAX(Inputs!$B$18:Inputs!$F$18))*E10</f>
        <v>0.72</v>
      </c>
      <c r="D10" s="7">
        <f>Inputs!$B$8</f>
        <v>0.05</v>
      </c>
      <c r="E10" s="7">
        <f>Inputs!$F$5</f>
        <v>0.8</v>
      </c>
      <c r="F10" s="8">
        <f>MIN(Inputs!$B$5,ROUNDUP(Inputs!$B$5*C10*(Inputs!$B$11+D10),Inputs!$B$12))</f>
        <v>1512</v>
      </c>
    </row>
    <row r="11">
      <c r="A11" s="6" t="inlineStr">
        <is>
          <t>Managed / 90% adherence</t>
        </is>
      </c>
      <c r="B11" s="6">
        <f>Inputs!$B$7</f>
        <v>5</v>
      </c>
      <c r="C11" s="7">
        <f>Inputs!$B$11-(Inputs!$B$11-MAX(Inputs!$B$18:Inputs!$F$18))*E11</f>
        <v>0.685</v>
      </c>
      <c r="D11" s="7">
        <f>Inputs!$B$8</f>
        <v>0.05</v>
      </c>
      <c r="E11" s="7">
        <f>Inputs!$F$6</f>
        <v>0.9</v>
      </c>
      <c r="F11" s="8">
        <f>MIN(Inputs!$B$5,ROUNDUP(Inputs!$B$5*C11*(Inputs!$B$11+D11),Inputs!$B$12))</f>
        <v>1439</v>
      </c>
    </row>
    <row r="12">
      <c r="A12" s="6" t="inlineStr">
        <is>
          <t>Managed / 100% adherence</t>
        </is>
      </c>
      <c r="B12" s="6">
        <f>Inputs!$B$7</f>
        <v>5</v>
      </c>
      <c r="C12" s="7">
        <f>Inputs!$B$11-(Inputs!$B$11-MAX(Inputs!$B$18:Inputs!$F$18))*E12</f>
        <v>0.65</v>
      </c>
      <c r="D12" s="7">
        <f>Inputs!$B$8</f>
        <v>0.05</v>
      </c>
      <c r="E12" s="7">
        <f>Inputs!$F$7</f>
        <v>1</v>
      </c>
      <c r="F12" s="8">
        <f>MIN(Inputs!$B$5,ROUNDUP(Inputs!$B$5*C12*(Inputs!$B$11+D12),Inputs!$B$12))</f>
        <v>1365</v>
      </c>
    </row>
    <row r="15" ht="34" customHeight="1">
      <c r="A15" s="2" t="inlineStr">
        <is>
          <t>Adherence method</t>
        </is>
      </c>
      <c r="B15" s="9" t="inlineStr">
        <is>
          <t>For 80–100% adherence rows, conservative peak = 1 − (1 − managed peak) × adherence. It is a modeling assumption, not a forecast.</t>
        </is>
      </c>
    </row>
  </sheetData>
  <mergeCells count="3">
    <mergeCell ref="A1:F1"/>
    <mergeCell ref="A2:F2"/>
    <mergeCell ref="B15:F15"/>
  </mergeCells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selection activeCell="A1" sqref="A1"/>
    </sheetView>
  </sheetViews>
  <cols>
    <col min="1" max="1" width="20" customWidth="1"/>
    <col min="2" max="2" width="25" customWidth="1"/>
    <col min="3" max="3" width="40" customWidth="1"/>
    <col min="4" max="4" width="34" customWidth="1"/>
    <col min="5" max="5" width="18" customWidth="1"/>
    <col min="6" max="6" width="24" customWidth="1"/>
    <col min="7" max="7" width="36" customWidth="1"/>
    <col min="8" max="8" width="18" customWidth="1"/>
  </cols>
  <sheetData>
    <row r="1">
      <c r="A1" s="1" t="inlineStr">
        <is>
          <t>KPI_Scorecard</t>
        </is>
      </c>
    </row>
    <row r="2" ht="30" customHeight="1">
      <c r="A2" s="9" t="inlineStr">
        <is>
          <t>SYNTHETIC / ILLUSTRATIVE sample data. Every target must be calibrated after a 4–8 week baseline.</t>
        </is>
      </c>
    </row>
    <row r="5" ht="32" customHeight="1">
      <c r="A5" s="2" t="inlineStr">
        <is>
          <t>Group</t>
        </is>
      </c>
      <c r="B5" s="2" t="inlineStr">
        <is>
          <t>KPI</t>
        </is>
      </c>
      <c r="C5" s="2" t="inlineStr">
        <is>
          <t>Definition / formula</t>
        </is>
      </c>
      <c r="D5" s="2" t="inlineStr">
        <is>
          <t>Data source needed</t>
        </is>
      </c>
      <c r="E5" s="2" t="inlineStr">
        <is>
          <t>Frequency</t>
        </is>
      </c>
      <c r="F5" s="2" t="inlineStr">
        <is>
          <t>Owner</t>
        </is>
      </c>
      <c r="G5" s="2" t="inlineStr">
        <is>
          <t>Illustrative target</t>
        </is>
      </c>
      <c r="H5" s="2" t="inlineStr">
        <is>
          <t>Synthetic sample</t>
        </is>
      </c>
    </row>
    <row r="6" ht="36" customHeight="1">
      <c r="A6" s="6" t="inlineStr">
        <is>
          <t>Space efficiency</t>
        </is>
      </c>
      <c r="B6" s="6" t="inlineStr">
        <is>
          <t>Peak-day utilization</t>
        </is>
      </c>
      <c r="C6" s="9" t="inlineStr">
        <is>
          <t>Peak occupied seats / total seats</t>
        </is>
      </c>
      <c r="D6" s="9" t="inlineStr">
        <is>
          <t>Check-in or badge data + seats</t>
        </is>
      </c>
      <c r="E6" s="6" t="inlineStr">
        <is>
          <t>Weekly</t>
        </is>
      </c>
      <c r="F6" s="9" t="inlineStr">
        <is>
          <t>Facilities</t>
        </is>
      </c>
      <c r="G6" s="6" t="str">
        <f>Inputs!$C$30</f>
        <v>80–90%; calibrate after baseline</v>
      </c>
      <c r="H6" s="7">
        <f>Inputs!$B$30</f>
        <v>0.86</v>
      </c>
    </row>
    <row r="7" ht="36" customHeight="1">
      <c r="A7" s="6" t="inlineStr">
        <is>
          <t>Space efficiency</t>
        </is>
      </c>
      <c r="B7" s="6" t="inlineStr">
        <is>
          <t>Weekday utilization skew</t>
        </is>
      </c>
      <c r="C7" s="9" t="inlineStr">
        <is>
          <t>Max weekday utilization − min weekday utilization</t>
        </is>
      </c>
      <c r="D7" s="9" t="inlineStr">
        <is>
          <t>Check-in or badge data</t>
        </is>
      </c>
      <c r="E7" s="6" t="inlineStr">
        <is>
          <t>Weekly</t>
        </is>
      </c>
      <c r="F7" s="9" t="inlineStr">
        <is>
          <t>Facilities + policy</t>
        </is>
      </c>
      <c r="G7" s="6" t="str">
        <f>Inputs!$C$31</f>
        <v>Narrowing; calibrate after baseline</v>
      </c>
      <c r="H7" s="7">
        <f>Inputs!$B$31</f>
        <v>0.18</v>
      </c>
    </row>
    <row r="8" ht="36" customHeight="1">
      <c r="A8" s="6" t="inlineStr">
        <is>
          <t>Space efficiency</t>
        </is>
      </c>
      <c r="B8" s="6" t="inlineStr">
        <is>
          <t>Cost / employee-day</t>
        </is>
      </c>
      <c r="C8" s="9" t="inlineStr">
        <is>
          <t>Occupancy cost / employee-days present</t>
        </is>
      </c>
      <c r="D8" s="9" t="inlineStr">
        <is>
          <t>Occupancy cost + presence data</t>
        </is>
      </c>
      <c r="E8" s="6" t="inlineStr">
        <is>
          <t>Monthly</t>
        </is>
      </c>
      <c r="F8" s="9" t="inlineStr">
        <is>
          <t>Facilities + Finance</t>
        </is>
      </c>
      <c r="G8" s="6" t="str">
        <f>Inputs!$C$32</f>
        <v>Trending down; calibrate after baseline</v>
      </c>
      <c r="H8" s="6">
        <f>Inputs!$B$32</f>
        <v>42</v>
      </c>
    </row>
    <row r="9" ht="36" customHeight="1">
      <c r="A9" s="6" t="inlineStr">
        <is>
          <t>Booking quality</t>
        </is>
      </c>
      <c r="B9" s="6" t="inlineStr">
        <is>
          <t>Seat denial rate</t>
        </is>
      </c>
      <c r="C9" s="9" t="inlineStr">
        <is>
          <t>Failed booking attempts / attempts</t>
        </is>
      </c>
      <c r="D9" s="9" t="inlineStr">
        <is>
          <t>Booking records</t>
        </is>
      </c>
      <c r="E9" s="6" t="inlineStr">
        <is>
          <t>Weekly</t>
        </is>
      </c>
      <c r="F9" s="9" t="inlineStr">
        <is>
          <t>Facilities</t>
        </is>
      </c>
      <c r="G9" s="6" t="str">
        <f>Inputs!$C$33</f>
        <v>&lt;2%; calibrate after baseline</v>
      </c>
      <c r="H9" s="7">
        <f>Inputs!$B$33</f>
        <v>0.015</v>
      </c>
    </row>
    <row r="10" ht="36" customHeight="1">
      <c r="A10" s="6" t="inlineStr">
        <is>
          <t>Booking quality</t>
        </is>
      </c>
      <c r="B10" s="6" t="inlineStr">
        <is>
          <t>No-show rate</t>
        </is>
      </c>
      <c r="C10" s="9" t="inlineStr">
        <is>
          <t>Booked but not checked in / booked</t>
        </is>
      </c>
      <c r="D10" s="9" t="inlineStr">
        <is>
          <t>Booking + check-in records</t>
        </is>
      </c>
      <c r="E10" s="6" t="inlineStr">
        <is>
          <t>Weekly</t>
        </is>
      </c>
      <c r="F10" s="9" t="inlineStr">
        <is>
          <t>Facilities</t>
        </is>
      </c>
      <c r="G10" s="6" t="str">
        <f>Inputs!$C$34</f>
        <v>&lt;10–15%; calibrate after baseline</v>
      </c>
      <c r="H10" s="7">
        <f>Inputs!$B$34</f>
        <v>0.12</v>
      </c>
    </row>
    <row r="11" ht="36" customHeight="1">
      <c r="A11" s="6" t="inlineStr">
        <is>
          <t>Employee experience</t>
        </is>
      </c>
      <c r="B11" s="6" t="inlineStr">
        <is>
          <t>Workplace CSAT</t>
        </is>
      </c>
      <c r="C11" s="9" t="inlineStr">
        <is>
          <t>Pulse survey score</t>
        </is>
      </c>
      <c r="D11" s="9" t="inlineStr">
        <is>
          <t>Survey</t>
        </is>
      </c>
      <c r="E11" s="6" t="inlineStr">
        <is>
          <t>Monthly / quarterly</t>
        </is>
      </c>
      <c r="F11" s="9" t="inlineStr">
        <is>
          <t>Shared with leadership</t>
        </is>
      </c>
      <c r="G11" s="6" t="str">
        <f>Inputs!$C$35</f>
        <v>≥4/5; calibrate after baseline</v>
      </c>
      <c r="H11" s="6">
        <f>Inputs!$B$35</f>
        <v>4.2</v>
      </c>
    </row>
    <row r="12" ht="36" customHeight="1">
      <c r="A12" s="6" t="inlineStr">
        <is>
          <t>Employee experience</t>
        </is>
      </c>
      <c r="B12" s="6" t="inlineStr">
        <is>
          <t>Team co-presence</t>
        </is>
      </c>
      <c r="C12" s="9" t="inlineStr">
        <is>
          <t>Team anchor days meeting participation threshold / anchor days</t>
        </is>
      </c>
      <c r="D12" s="9" t="inlineStr">
        <is>
          <t>Badge/check-in + team roster</t>
        </is>
      </c>
      <c r="E12" s="6" t="inlineStr">
        <is>
          <t>Monthly</t>
        </is>
      </c>
      <c r="F12" s="9" t="inlineStr">
        <is>
          <t>Shared with leadership</t>
        </is>
      </c>
      <c r="G12" s="6" t="str">
        <f>Inputs!$C$36</f>
        <v>Improving; calibrate after baseline</v>
      </c>
      <c r="H12" s="7">
        <f>Inputs!$B$36</f>
        <v>0.78</v>
      </c>
    </row>
    <row r="13" ht="36" customHeight="1">
      <c r="A13" s="6" t="inlineStr">
        <is>
          <t>Service operations</t>
        </is>
      </c>
      <c r="B13" s="6" t="inlineStr">
        <is>
          <t>Ticket SLA adherence</t>
        </is>
      </c>
      <c r="C13" s="9" t="inlineStr">
        <is>
          <t>Tickets resolved within SLA / total</t>
        </is>
      </c>
      <c r="D13" s="9" t="inlineStr">
        <is>
          <t>Ticket system</t>
        </is>
      </c>
      <c r="E13" s="6" t="inlineStr">
        <is>
          <t>Weekly</t>
        </is>
      </c>
      <c r="F13" s="9" t="inlineStr">
        <is>
          <t>Facilities</t>
        </is>
      </c>
      <c r="G13" s="6" t="str">
        <f>Inputs!$C$37</f>
        <v>≥95%; calibrate after baseline</v>
      </c>
      <c r="H13" s="7">
        <f>Inputs!$B$37</f>
        <v>0.96</v>
      </c>
    </row>
    <row r="14" ht="36" customHeight="1">
      <c r="A14" s="6" t="inlineStr">
        <is>
          <t>Service operations</t>
        </is>
      </c>
      <c r="B14" s="6" t="inlineStr">
        <is>
          <t>Repeat-issue rate</t>
        </is>
      </c>
      <c r="C14" s="9" t="inlineStr">
        <is>
          <t>Repeat tickets / total tickets</t>
        </is>
      </c>
      <c r="D14" s="9" t="inlineStr">
        <is>
          <t>Ticket system</t>
        </is>
      </c>
      <c r="E14" s="6" t="inlineStr">
        <is>
          <t>Monthly</t>
        </is>
      </c>
      <c r="F14" s="9" t="inlineStr">
        <is>
          <t>Facilities</t>
        </is>
      </c>
      <c r="G14" s="6" t="str">
        <f>Inputs!$C$38</f>
        <v>Down; calibrate after baseline</v>
      </c>
      <c r="H14" s="7">
        <f>Inputs!$B$38</f>
        <v>0.08</v>
      </c>
    </row>
    <row r="15" ht="36" customHeight="1">
      <c r="A15" s="6" t="inlineStr">
        <is>
          <t>Safety &amp; compliance</t>
        </is>
      </c>
      <c r="B15" s="6" t="inlineStr">
        <is>
          <t>Open critical incidents</t>
        </is>
      </c>
      <c r="C15" s="9" t="inlineStr">
        <is>
          <t>Count of critical incidents or audit findings open</t>
        </is>
      </c>
      <c r="D15" s="9" t="inlineStr">
        <is>
          <t>Incident/audit records</t>
        </is>
      </c>
      <c r="E15" s="6" t="inlineStr">
        <is>
          <t>Weekly</t>
        </is>
      </c>
      <c r="F15" s="9" t="inlineStr">
        <is>
          <t>Facilities</t>
        </is>
      </c>
      <c r="G15" s="6" t="str">
        <f>Inputs!$C$39</f>
        <v>Zero critical open; calibrate after baseline</v>
      </c>
      <c r="H15" s="6">
        <f>Inputs!$B$39</f>
        <v>0</v>
      </c>
    </row>
    <row r="16" ht="36" customHeight="1">
      <c r="A16" s="6" t="inlineStr">
        <is>
          <t>Sustainability</t>
        </is>
      </c>
      <c r="B16" s="6" t="inlineStr">
        <is>
          <t>Energy / occupied seat-day</t>
        </is>
      </c>
      <c r="C16" s="9" t="inlineStr">
        <is>
          <t>kWh / occupied seat-days</t>
        </is>
      </c>
      <c r="D16" s="9" t="inlineStr">
        <is>
          <t>Utility meters + presence data</t>
        </is>
      </c>
      <c r="E16" s="6" t="inlineStr">
        <is>
          <t>Monthly</t>
        </is>
      </c>
      <c r="F16" s="9" t="inlineStr">
        <is>
          <t>Facilities</t>
        </is>
      </c>
      <c r="G16" s="6" t="str">
        <f>Inputs!$C$40</f>
        <v>Down vs baseline</v>
      </c>
      <c r="H16" s="6">
        <f>Inputs!$B$40</f>
        <v>5.6</v>
      </c>
    </row>
    <row r="17" ht="36" customHeight="1">
      <c r="A17" s="6" t="inlineStr">
        <is>
          <t>Financial</t>
        </is>
      </c>
      <c r="B17" s="6" t="inlineStr">
        <is>
          <t>Budget variance</t>
        </is>
      </c>
      <c r="C17" s="9" t="inlineStr">
        <is>
          <t>(Actual − plan) / plan; track space cost avoided</t>
        </is>
      </c>
      <c r="D17" s="9" t="inlineStr">
        <is>
          <t>Finance + occupancy data</t>
        </is>
      </c>
      <c r="E17" s="6" t="inlineStr">
        <is>
          <t>Monthly</t>
        </is>
      </c>
      <c r="F17" s="9" t="inlineStr">
        <is>
          <t>Facilities + Finance</t>
        </is>
      </c>
      <c r="G17" s="6" t="str">
        <f>Inputs!$C$41</f>
        <v>Within ±5%; calibrate after baseline</v>
      </c>
      <c r="H17" s="7">
        <f>Inputs!$B$41</f>
        <v>0.03</v>
      </c>
    </row>
    <row r="20" ht="34" customHeight="1">
      <c r="A20" s="2" t="inlineStr">
        <is>
          <t>Balanced reading</t>
        </is>
      </c>
      <c r="B20" s="9" t="inlineStr">
        <is>
          <t>Read utilization alongside denial rate and CSAT; booking/no-shows lead, while CSAT and cost lag. Report by office and country once data exists.</t>
        </is>
      </c>
    </row>
  </sheetData>
  <mergeCells count="3">
    <mergeCell ref="A1:H1"/>
    <mergeCell ref="A2:H2"/>
    <mergeCell ref="B20:H20"/>
  </mergeCells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selection activeCell="A1" sqref="A1"/>
    </sheetView>
  </sheetViews>
  <cols>
    <col min="1" max="1" width="24" customWidth="1"/>
    <col min="2" max="2" width="16" customWidth="1"/>
    <col min="3" max="3" width="3" customWidth="1"/>
    <col min="4" max="4" width="24" customWidth="1"/>
    <col min="5" max="5" width="16" customWidth="1"/>
    <col min="6" max="6" width="3" customWidth="1"/>
    <col min="7" max="7" width="32" customWidth="1"/>
    <col min="8" max="8" width="16" customWidth="1"/>
  </cols>
  <sheetData>
    <row r="1">
      <c r="A1" s="1" t="inlineStr">
        <is>
          <t>Charts</t>
        </is>
      </c>
    </row>
    <row r="2" ht="30" customHeight="1">
      <c r="A2" s="9" t="inlineStr">
        <is>
          <t>Chart source data and native Excel charts. All data is linked to formula outputs.</t>
        </is>
      </c>
    </row>
    <row r="5">
      <c r="A5" s="2" t="inlineStr">
        <is>
          <t>Scenario</t>
        </is>
      </c>
      <c r="B5" s="2" t="inlineStr">
        <is>
          <t>Seats</t>
        </is>
      </c>
      <c r="D5" s="2" t="inlineStr">
        <is>
          <t>Scenario</t>
        </is>
      </c>
      <c r="E5" s="2" t="inlineStr">
        <is>
          <t>Peak load</t>
        </is>
      </c>
      <c r="G5" s="2" t="inlineStr">
        <is>
          <t>Sensitivity case</t>
        </is>
      </c>
      <c r="H5" s="2" t="inlineStr">
        <is>
          <t>Seats</t>
        </is>
      </c>
    </row>
    <row r="6">
      <c r="A6" s="6" t="inlineStr">
        <is>
          <t>A. Balanced</t>
        </is>
      </c>
      <c r="B6" s="8">
        <f>Scenarios!$J$6</f>
        <v>1260</v>
      </c>
      <c r="D6" s="6" t="inlineStr">
        <is>
          <t>A. Balanced</t>
        </is>
      </c>
      <c r="E6" s="8">
        <f>Scenarios!$I$6</f>
        <v>1200</v>
      </c>
    </row>
    <row r="7">
      <c r="A7" s="6" t="inlineStr">
        <is>
          <t>B. Managed</t>
        </is>
      </c>
      <c r="B7" s="8">
        <f>Scenarios!$J$7</f>
        <v>1365</v>
      </c>
      <c r="D7" s="6" t="inlineStr">
        <is>
          <t>B. Managed</t>
        </is>
      </c>
      <c r="E7" s="8">
        <f>Scenarios!$I$7</f>
        <v>1300</v>
      </c>
    </row>
    <row r="8">
      <c r="A8" s="6" t="inlineStr">
        <is>
          <t>C. Unmanaged</t>
        </is>
      </c>
      <c r="B8" s="8">
        <f>Scenarios!$J$8</f>
        <v>1575</v>
      </c>
      <c r="D8" s="6" t="inlineStr">
        <is>
          <t>C. Unmanaged</t>
        </is>
      </c>
      <c r="E8" s="8">
        <f>Scenarios!$I$8</f>
        <v>1500</v>
      </c>
    </row>
    <row r="9">
      <c r="A9" s="6" t="inlineStr">
        <is>
          <t>D. Worst case</t>
        </is>
      </c>
      <c r="B9" s="8">
        <f>Scenarios!$J$9</f>
        <v>2000</v>
      </c>
      <c r="D9" s="6" t="inlineStr">
        <is>
          <t>D. Worst case</t>
        </is>
      </c>
      <c r="E9" s="8">
        <f>Scenarios!$I$9</f>
        <v>2000</v>
      </c>
    </row>
    <row r="6">
      <c r="G6" s="6" t="str">
        <f>Sensitivity!$A$6</f>
        <v>Balanced / 5-day</v>
      </c>
      <c r="H6" s="8">
        <f>Sensitivity!$F$6</f>
        <v>1260</v>
      </c>
    </row>
    <row r="7">
      <c r="G7" s="6" t="str">
        <f>Sensitivity!$A$7</f>
        <v>Managed / 5-day</v>
      </c>
      <c r="H7" s="8">
        <f>Sensitivity!$F$7</f>
        <v>1365</v>
      </c>
    </row>
    <row r="8">
      <c r="G8" s="6" t="str">
        <f>Sensitivity!$A$8</f>
        <v>6-day average</v>
      </c>
      <c r="H8" s="8">
        <f>Sensitivity!$F$8</f>
        <v>1050</v>
      </c>
    </row>
    <row r="9">
      <c r="G9" s="6" t="str">
        <f>Sensitivity!$A$9</f>
        <v>High peak + buffer</v>
      </c>
      <c r="H9" s="8">
        <f>Sensitivity!$F$9</f>
        <v>1650</v>
      </c>
    </row>
    <row r="10">
      <c r="G10" s="6" t="str">
        <f>Sensitivity!$A$10</f>
        <v>Managed / 80% adherence</v>
      </c>
      <c r="H10" s="8">
        <f>Sensitivity!$F$10</f>
        <v>1512</v>
      </c>
    </row>
    <row r="11">
      <c r="G11" s="6" t="str">
        <f>Sensitivity!$A$11</f>
        <v>Managed / 90% adherence</v>
      </c>
      <c r="H11" s="8">
        <f>Sensitivity!$F$11</f>
        <v>1439</v>
      </c>
    </row>
    <row r="12">
      <c r="G12" s="6" t="str">
        <f>Sensitivity!$A$12</f>
        <v>Managed / 100% adherence</v>
      </c>
      <c r="H12" s="8">
        <f>Sensitivity!$F$12</f>
        <v>1365</v>
      </c>
    </row>
  </sheetData>
  <mergeCells count="2">
    <mergeCell ref="A1:H1"/>
    <mergeCell ref="A2:H2"/>
  </mergeCells>
  <drawing r:id="rId1"/>
</worksheet>
</file>

<file path=docProps/app.xml><?xml version="1.0" encoding="utf-8"?>
<Properties xmlns="http://schemas.openxmlformats.org/officeDocument/2006/extended-properties">
  <Application>Codex</Application>
  <TitlesOfParts>
    <vt:vector xmlns:vt="http://schemas.openxmlformats.org/officeDocument/2006/docPropsVTypes" size="8" baseType="lpstr">
      <vt:lpstr>README</vt:lpstr>
      <vt:lpstr>Inputs</vt:lpstr>
      <vt:lpstr>Scenarios</vt:lpstr>
      <vt:lpstr>Per_Office</vt:lpstr>
      <vt:lpstr>Stats_Check</vt:lpstr>
      <vt:lpstr>Sensitivity</vt:lpstr>
      <vt:lpstr>KPI_Scorecard</vt:lpstr>
      <vt:lpstr>Charts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WorkInSync Seat Planning Model</dc:title>
  <dc:creator>Sameer</dc:creator>
  <dcterms:created xsi:type="dcterms:W3CDTF">2026-10-11T16:51:15+00:00</dcterms:created>
</cp:coreProperties>
</file>